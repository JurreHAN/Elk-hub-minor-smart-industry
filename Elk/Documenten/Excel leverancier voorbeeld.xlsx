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Jurre\Downloads\"/>
    </mc:Choice>
  </mc:AlternateContent>
  <xr:revisionPtr revIDLastSave="0" documentId="8_{EE19FDBC-6917-4D5E-AA00-BB72DAA67464}" xr6:coauthVersionLast="47" xr6:coauthVersionMax="47" xr10:uidLastSave="{00000000-0000-0000-0000-000000000000}"/>
  <bookViews>
    <workbookView xWindow="-108" yWindow="-108" windowWidth="23256" windowHeight="12456" firstSheet="1" activeTab="1" xr2:uid="{06EFCD77-2231-446E-8438-8DD433AB2628}"/>
  </bookViews>
  <sheets>
    <sheet name="Instructies" sheetId="1" r:id="rId1"/>
    <sheet name="Formulier" sheetId="2" r:id="rId2"/>
    <sheet name="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D2" i="3"/>
  <c r="D3" i="3"/>
  <c r="D4" i="3"/>
  <c r="D5" i="3"/>
  <c r="D6" i="3"/>
  <c r="B5" i="1"/>
</calcChain>
</file>

<file path=xl/sharedStrings.xml><?xml version="1.0" encoding="utf-8"?>
<sst xmlns="http://schemas.openxmlformats.org/spreadsheetml/2006/main" count="91" uniqueCount="83">
  <si>
    <t>Afvalrapportage Portaal</t>
  </si>
  <si>
    <t>Bestandsnaam:</t>
  </si>
  <si>
    <t>Vul hieronder uw bedrijfsnaam in:</t>
  </si>
  <si>
    <t>Jaartal</t>
  </si>
  <si>
    <t>Selecteer voor welk jaar uw de data invult:</t>
  </si>
  <si>
    <t>Welkom bij de afvalrapportage voor elk®</t>
  </si>
  <si>
    <t>Hartelijk dank voor uw medewerking.</t>
  </si>
  <si>
    <r>
      <t xml:space="preserve">1. Klik op de knop hieronder en u wordt doorgestuurd naar het tabblad </t>
    </r>
    <r>
      <rPr>
        <b/>
        <sz val="11"/>
        <color theme="1"/>
        <rFont val="Aptos Narrow"/>
        <family val="2"/>
        <scheme val="minor"/>
      </rPr>
      <t>'Formulier'</t>
    </r>
    <r>
      <rPr>
        <sz val="11"/>
        <color theme="1"/>
        <rFont val="Aptos Narrow"/>
        <family val="2"/>
        <scheme val="minor"/>
      </rPr>
      <t>.</t>
    </r>
  </si>
  <si>
    <t>2. Vul alle verwerkte afvalstromen in.</t>
  </si>
  <si>
    <t>4. Sla het bestand op met het gegenereerde bestandsnaam</t>
  </si>
  <si>
    <t>Vestiging</t>
  </si>
  <si>
    <t>Afvalstroom *</t>
  </si>
  <si>
    <t>Gewicht  (t)</t>
  </si>
  <si>
    <t>Kosten (€)</t>
  </si>
  <si>
    <t>*) Uitleg Afvalstromen</t>
  </si>
  <si>
    <t>Sommige afvalstromen zijn samengevoegd tot 1 categorie, 
hieronder is te vinden welke afvalstromen onder de desbetreffende categorie vallen</t>
  </si>
  <si>
    <t>Categorie</t>
  </si>
  <si>
    <t>Afvalstroom</t>
  </si>
  <si>
    <t>EURAL-code</t>
  </si>
  <si>
    <t>Kunststoffen &amp; Verpakkingen</t>
  </si>
  <si>
    <t xml:space="preserve">Folie/ plastic folie
</t>
  </si>
  <si>
    <t>20 01 39</t>
  </si>
  <si>
    <t>PMD/ lege emballage</t>
  </si>
  <si>
    <t>15 01 02
15 01 06</t>
  </si>
  <si>
    <t>Dakafval</t>
  </si>
  <si>
    <t>Bitumen/ dakbedekking</t>
  </si>
  <si>
    <t>17 03 02 
17 03 80</t>
  </si>
  <si>
    <t>Organisch afval</t>
  </si>
  <si>
    <t>Groenafval/ GFT</t>
  </si>
  <si>
    <t>20 02 01</t>
  </si>
  <si>
    <t>Rest/ Bedrijfsafval</t>
  </si>
  <si>
    <t>Restafval</t>
  </si>
  <si>
    <t>20 03 01</t>
  </si>
  <si>
    <t>Bedrijfsafval</t>
  </si>
  <si>
    <t>Grof afval/ huishoudelijk afval</t>
  </si>
  <si>
    <t>20 03 07</t>
  </si>
  <si>
    <t>Gevaarlijk/ Chemisch afval</t>
  </si>
  <si>
    <t>Verf, inkt &amp; lijm</t>
  </si>
  <si>
    <t>08 01 11*</t>
  </si>
  <si>
    <t>Chemisch afval</t>
  </si>
  <si>
    <t>16 05 06*</t>
  </si>
  <si>
    <t>Drukhouders</t>
  </si>
  <si>
    <t>16 05 04*</t>
  </si>
  <si>
    <t>C-Hout</t>
  </si>
  <si>
    <t>17 02 04*</t>
  </si>
  <si>
    <t>Vesteging</t>
  </si>
  <si>
    <t>Jaar</t>
  </si>
  <si>
    <t>Dordrecht  elk®</t>
  </si>
  <si>
    <t>Papier &amp; Karton</t>
  </si>
  <si>
    <t>Oss elk®</t>
  </si>
  <si>
    <t>Groningen elk®</t>
  </si>
  <si>
    <t>Glas</t>
  </si>
  <si>
    <t>Enschede elk®</t>
  </si>
  <si>
    <t>Metaal</t>
  </si>
  <si>
    <t>Bleiswijk elk®</t>
  </si>
  <si>
    <t>A-Hout</t>
  </si>
  <si>
    <t>Vlaardingen elk®</t>
  </si>
  <si>
    <t>B-Hout</t>
  </si>
  <si>
    <t>Enter elk®</t>
  </si>
  <si>
    <t>Bouw- en Sloopafval (BSA)</t>
  </si>
  <si>
    <t>Nijmegen elk®</t>
  </si>
  <si>
    <t>Puin</t>
  </si>
  <si>
    <t>Hengelo Aannemingsbedrijf Weijermars</t>
  </si>
  <si>
    <t>Gips</t>
  </si>
  <si>
    <t>Utrecht elk®</t>
  </si>
  <si>
    <t>Leeuwarden Zaanderwijk</t>
  </si>
  <si>
    <t>Apeldoorn elk®</t>
  </si>
  <si>
    <t>Houten elk®</t>
  </si>
  <si>
    <t>Amsterdam elk®</t>
  </si>
  <si>
    <t>Asbesthoudend materiaal</t>
  </si>
  <si>
    <t>Leiden Huurman</t>
  </si>
  <si>
    <t>Isolatiemateriaal</t>
  </si>
  <si>
    <t>Arnhem Zegers Bouw</t>
  </si>
  <si>
    <t>Ede Zegers Bouw</t>
  </si>
  <si>
    <t>Eindhoven elk®</t>
  </si>
  <si>
    <t>Gemert elk®</t>
  </si>
  <si>
    <t>St. Odiliënberg Maasveste Berben Bouw BV</t>
  </si>
  <si>
    <t>Maastricht Maasveste Berben Bouw BV</t>
  </si>
  <si>
    <t>Venlo van der Meijs </t>
  </si>
  <si>
    <t>Alkmaar Zaanderwijk</t>
  </si>
  <si>
    <t>Urk Zaanderwijk</t>
  </si>
  <si>
    <t>De Goorn Zaanderwijk</t>
  </si>
  <si>
    <t>Helmond elk®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</si>
</sst>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_-[$€-2]\ * #,##0.00_-;\-[$€-2]\ * #,##0.00_-;_-[$€-2]\ 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D2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2" fontId="0" fillId="0" borderId="0" xfId="0" applyNumberForma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0" fillId="3" borderId="0" xfId="0" applyFill="1"/>
    <xf numFmtId="0" fontId="5" fillId="2" borderId="0" xfId="0" applyFont="1" applyFill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1" applyNumberFormat="1" applyFont="1" applyAlignment="1">
      <alignment horizontal="right" vertical="center"/>
    </xf>
    <xf numFmtId="165" fontId="0" fillId="0" borderId="0" xfId="1" applyNumberFormat="1" applyFont="1"/>
    <xf numFmtId="0" fontId="2" fillId="3" borderId="1" xfId="0" applyFont="1" applyFill="1" applyBorder="1" applyProtection="1">
      <protection locked="0"/>
    </xf>
    <xf numFmtId="0" fontId="0" fillId="0" borderId="0" xfId="0" applyAlignment="1">
      <alignment horizontal="right"/>
    </xf>
    <xf numFmtId="0" fontId="0" fillId="3" borderId="0" xfId="0" applyFill="1" applyProtection="1">
      <protection locked="0"/>
    </xf>
    <xf numFmtId="0" fontId="0" fillId="3" borderId="0" xfId="0" applyFill="1" applyAlignment="1">
      <alignment horizontal="right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2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2" borderId="7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/>
    </xf>
    <xf numFmtId="49" fontId="0" fillId="2" borderId="4" xfId="0" applyNumberFormat="1" applyFill="1" applyBorder="1" applyAlignment="1">
      <alignment horizontal="left"/>
    </xf>
    <xf numFmtId="49" fontId="0" fillId="2" borderId="8" xfId="0" applyNumberFormat="1" applyFill="1" applyBorder="1" applyAlignment="1">
      <alignment horizontal="left" wrapText="1"/>
    </xf>
    <xf numFmtId="49" fontId="0" fillId="2" borderId="11" xfId="0" applyNumberFormat="1" applyFill="1" applyBorder="1" applyAlignment="1">
      <alignment horizontal="left" wrapText="1"/>
    </xf>
    <xf numFmtId="49" fontId="0" fillId="2" borderId="11" xfId="0" applyNumberFormat="1" applyFill="1" applyBorder="1" applyAlignment="1">
      <alignment horizontal="left"/>
    </xf>
    <xf numFmtId="49" fontId="0" fillId="2" borderId="5" xfId="0" applyNumberFormat="1" applyFill="1" applyBorder="1" applyAlignment="1">
      <alignment horizontal="left"/>
    </xf>
    <xf numFmtId="49" fontId="0" fillId="2" borderId="8" xfId="0" applyNumberFormat="1" applyFill="1" applyBorder="1" applyAlignment="1">
      <alignment horizontal="left"/>
    </xf>
    <xf numFmtId="49" fontId="0" fillId="2" borderId="4" xfId="0" applyNumberFormat="1" applyFill="1" applyBorder="1" applyAlignment="1">
      <alignment horizontal="left" vertical="center" wrapText="1"/>
    </xf>
    <xf numFmtId="49" fontId="0" fillId="2" borderId="5" xfId="0" applyNumberFormat="1" applyFill="1" applyBorder="1" applyAlignment="1">
      <alignment horizontal="left" vertical="center" wrapText="1"/>
    </xf>
    <xf numFmtId="49" fontId="0" fillId="2" borderId="8" xfId="0" applyNumberForma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2" borderId="6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3" xfId="0" applyFill="1" applyBorder="1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</cellXfs>
  <cellStyles count="2">
    <cellStyle name="Standaard" xfId="0" builtinId="0"/>
    <cellStyle name="Valuta" xfId="1" builtinId="4"/>
  </cellStyles>
  <dxfs count="7">
    <dxf>
      <numFmt numFmtId="165" formatCode="_-[$€-2]\ * #,##0.00_-;\-[$€-2]\ * #,##0.00_-;_-[$€-2]\ * &quot;-&quot;??_-;_-@_-"/>
    </dxf>
    <dxf>
      <numFmt numFmtId="2" formatCode="0.0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auto="1"/>
        </top>
      </border>
    </dxf>
    <dxf>
      <fill>
        <patternFill>
          <bgColor theme="2"/>
        </patternFill>
      </fill>
      <border>
        <top style="thin">
          <color auto="1"/>
        </top>
      </border>
    </dxf>
    <dxf>
      <fill>
        <patternFill patternType="solid">
          <bgColor rgb="FFF8D200"/>
        </patternFill>
      </fill>
      <border>
        <bottom style="medium">
          <color rgb="FFC8AB00"/>
        </bottom>
      </border>
    </dxf>
  </dxfs>
  <tableStyles count="1" defaultTableStyle="TableStyleMedium2" defaultPivotStyle="PivotStyleLight16">
    <tableStyle name="Table Style 1" pivot="0" count="3" xr9:uid="{E5A58224-6DC8-41ED-9A97-060190FCFBA3}">
      <tableStyleElement type="headerRow" dxfId="6"/>
      <tableStyleElement type="firstRowStripe" dxfId="5"/>
      <tableStyleElement type="secondRowStripe" dxfId="4"/>
    </tableStyle>
  </tableStyles>
  <colors>
    <mruColors>
      <color rgb="FFF8D200"/>
      <color rgb="FFFFE965"/>
      <color rgb="FFFFEE89"/>
      <color rgb="FFC8AB00"/>
      <color rgb="FFFFE757"/>
      <color rgb="FF8F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Formulier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353873</xdr:rowOff>
    </xdr:from>
    <xdr:to>
      <xdr:col>10</xdr:col>
      <xdr:colOff>151707</xdr:colOff>
      <xdr:row>3</xdr:row>
      <xdr:rowOff>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3634E4-E367-C2C4-8842-D42F692A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140" y="353873"/>
          <a:ext cx="1828107" cy="804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114300</xdr:colOff>
      <xdr:row>20</xdr:row>
      <xdr:rowOff>129540</xdr:rowOff>
    </xdr:from>
    <xdr:to>
      <xdr:col>6</xdr:col>
      <xdr:colOff>99060</xdr:colOff>
      <xdr:row>24</xdr:row>
      <xdr:rowOff>160020</xdr:rowOff>
    </xdr:to>
    <xdr:sp macro="" textlink="">
      <xdr:nvSpPr>
        <xdr:cNvPr id="8" name="Rectangle: Rounded Corner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5A2584-17FB-E62E-C08F-66B8AB21FAEC}"/>
            </a:ext>
          </a:extLst>
        </xdr:cNvPr>
        <xdr:cNvSpPr/>
      </xdr:nvSpPr>
      <xdr:spPr>
        <a:xfrm>
          <a:off x="853440" y="2926080"/>
          <a:ext cx="3032760" cy="762000"/>
        </a:xfrm>
        <a:prstGeom prst="roundRect">
          <a:avLst/>
        </a:prstGeom>
        <a:solidFill>
          <a:srgbClr val="F8D2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2000" b="1">
              <a:solidFill>
                <a:sysClr val="windowText" lastClr="000000"/>
              </a:solidFill>
            </a:rPr>
            <a:t>       Ga</a:t>
          </a:r>
          <a:r>
            <a:rPr lang="en-GB" sz="2000" b="1" baseline="0">
              <a:solidFill>
                <a:sysClr val="windowText" lastClr="000000"/>
              </a:solidFill>
            </a:rPr>
            <a:t> naar formulier</a:t>
          </a:r>
          <a:endParaRPr lang="LID4096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60960</xdr:colOff>
      <xdr:row>22</xdr:row>
      <xdr:rowOff>60960</xdr:rowOff>
    </xdr:from>
    <xdr:to>
      <xdr:col>5</xdr:col>
      <xdr:colOff>365760</xdr:colOff>
      <xdr:row>23</xdr:row>
      <xdr:rowOff>76200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F14FCD24-4B77-9924-21B4-5385A80CFC26}"/>
            </a:ext>
          </a:extLst>
        </xdr:cNvPr>
        <xdr:cNvSpPr/>
      </xdr:nvSpPr>
      <xdr:spPr>
        <a:xfrm>
          <a:off x="3238500" y="3223260"/>
          <a:ext cx="304800" cy="198120"/>
        </a:xfrm>
        <a:prstGeom prst="rightArrow">
          <a:avLst/>
        </a:prstGeom>
        <a:solidFill>
          <a:srgbClr val="FFEE89"/>
        </a:solidFill>
        <a:ln>
          <a:solidFill>
            <a:srgbClr val="C8AB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618D7-D41B-4741-BB91-EBF43B4C1AB6}" name="Formulier" displayName="Formulier" ref="A1:D1048575" totalsRowShown="0" headerRowDxfId="2">
  <tableColumns count="4">
    <tableColumn id="2" xr3:uid="{B3A9AA96-22F2-4116-A169-747E0E04F66B}" name="Vestiging"/>
    <tableColumn id="3" xr3:uid="{A19F513C-946D-4653-AA4E-A9EEA15F6C81}" name="Afvalstroom *"/>
    <tableColumn id="5" xr3:uid="{A23C64B1-EB8A-401D-84C0-D7FE7950ADA9}" name="Gewicht  (t)" dataDxfId="1"/>
    <tableColumn id="9" xr3:uid="{1716C1AB-E34E-469D-B525-E3FEA7567C74}" name="Kosten (€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BD96-6A29-4B60-8D33-9A8EBD10BBE7}">
  <dimension ref="A1:Z41"/>
  <sheetViews>
    <sheetView showGridLines="0" showRowColHeaders="0" workbookViewId="0">
      <selection activeCell="K11" sqref="K11"/>
    </sheetView>
  </sheetViews>
  <sheetFormatPr defaultRowHeight="14.45"/>
  <cols>
    <col min="1" max="1" width="13.5703125" customWidth="1"/>
    <col min="3" max="5" width="8.85546875" customWidth="1"/>
  </cols>
  <sheetData>
    <row r="1" spans="1:26" ht="37.9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6.6">
      <c r="A2" s="4"/>
      <c r="B2" s="6" t="s">
        <v>0</v>
      </c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>
      <c r="A5" s="4"/>
      <c r="B5" s="8" t="str">
        <f>IF(A9="", "", "Van afvalwerker " &amp; A9)</f>
        <v/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 t="s">
        <v>1</v>
      </c>
      <c r="B7" s="10" t="str">
        <f>IF(AND(A9&lt;&gt;"", F11&lt;&gt;""), A9 &amp; "_afvalrapportage_" &amp; F11 &amp; ".xlsx", "De bestandsnaam verschijnt automatisch zodra de bedrijfsnaam en periode zijn ingevuld.")</f>
        <v>De bestandsnaam verschijnt automatisch zodra de bedrijfsnaam en periode zijn ingevuld.</v>
      </c>
    </row>
    <row r="8" spans="1:26" s="7" customFormat="1" ht="15.6" customHeight="1">
      <c r="A8" t="s">
        <v>2</v>
      </c>
    </row>
    <row r="9" spans="1:26" s="7" customFormat="1" ht="15.6" customHeight="1">
      <c r="A9" s="16"/>
    </row>
    <row r="10" spans="1:26" s="7" customFormat="1" ht="15.6" customHeight="1">
      <c r="F10" s="19" t="s">
        <v>3</v>
      </c>
    </row>
    <row r="11" spans="1:26" s="7" customFormat="1" ht="15.6" customHeight="1">
      <c r="A11" t="s">
        <v>4</v>
      </c>
      <c r="F11" s="18"/>
    </row>
    <row r="12" spans="1:26" s="7" customFormat="1" ht="15.6" customHeight="1">
      <c r="A12"/>
    </row>
    <row r="13" spans="1:26">
      <c r="A13" s="1" t="s">
        <v>5</v>
      </c>
    </row>
    <row r="14" spans="1:26">
      <c r="A14" t="s">
        <v>6</v>
      </c>
    </row>
    <row r="15" spans="1:26">
      <c r="A15" s="2" t="s">
        <v>7</v>
      </c>
    </row>
    <row r="16" spans="1:26">
      <c r="A16" s="2" t="s">
        <v>8</v>
      </c>
    </row>
    <row r="17" spans="1:1">
      <c r="A17" s="2" t="s">
        <v>9</v>
      </c>
    </row>
    <row r="18" spans="1:1">
      <c r="A18" s="2"/>
    </row>
    <row r="20" spans="1:1">
      <c r="A20" s="2"/>
    </row>
    <row r="22" spans="1:1">
      <c r="A22" s="2"/>
    </row>
    <row r="29" spans="1:1">
      <c r="A29" s="1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</sheetData>
  <conditionalFormatting sqref="A9 F11">
    <cfRule type="containsBlanks" dxfId="3" priority="2">
      <formula>LEN(TRIM(A9))=0</formula>
    </cfRule>
  </conditionalFormatting>
  <dataValidations count="1">
    <dataValidation type="list" allowBlank="1" showInputMessage="1" showErrorMessage="1" sqref="E12" xr:uid="{B005C3E6-D91E-4336-882F-38111B2FFD70}">
      <formula1>"Q1, Q2, Q3, Q4"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2A1FD5-9269-464A-91FA-9715F5391CC2}">
          <x14:formula1>
            <xm:f>Data!$D$2:$D$6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3541-7F54-49CE-8A1C-C2D8EBED4189}">
  <dimension ref="A1:I24"/>
  <sheetViews>
    <sheetView tabSelected="1" workbookViewId="0">
      <selection activeCell="A3" sqref="A3"/>
    </sheetView>
  </sheetViews>
  <sheetFormatPr defaultRowHeight="14.45"/>
  <cols>
    <col min="1" max="1" width="22.7109375" customWidth="1"/>
    <col min="2" max="2" width="25.28515625" customWidth="1"/>
    <col min="3" max="3" width="17.85546875" style="3" customWidth="1"/>
    <col min="4" max="4" width="20.7109375" style="15" customWidth="1"/>
    <col min="7" max="7" width="29.7109375" customWidth="1"/>
    <col min="8" max="8" width="25.28515625" customWidth="1"/>
    <col min="9" max="9" width="20" customWidth="1"/>
  </cols>
  <sheetData>
    <row r="1" spans="1:9" ht="19.149999999999999" customHeight="1">
      <c r="A1" s="12" t="s">
        <v>10</v>
      </c>
      <c r="B1" s="12" t="s">
        <v>11</v>
      </c>
      <c r="C1" s="13" t="s">
        <v>12</v>
      </c>
      <c r="D1" s="14" t="s">
        <v>13</v>
      </c>
      <c r="G1" s="41" t="s">
        <v>14</v>
      </c>
      <c r="H1" s="27"/>
      <c r="I1" s="23"/>
    </row>
    <row r="2" spans="1:9" ht="14.45" customHeight="1">
      <c r="G2" s="50" t="s">
        <v>15</v>
      </c>
      <c r="H2" s="50"/>
      <c r="I2" s="50"/>
    </row>
    <row r="3" spans="1:9" ht="14.45" customHeight="1">
      <c r="G3" s="51"/>
      <c r="H3" s="51"/>
      <c r="I3" s="51"/>
    </row>
    <row r="4" spans="1:9" ht="14.45" customHeight="1">
      <c r="G4" s="43" t="s">
        <v>16</v>
      </c>
      <c r="H4" s="42" t="s">
        <v>17</v>
      </c>
      <c r="I4" s="42" t="s">
        <v>18</v>
      </c>
    </row>
    <row r="5" spans="1:9" ht="14.45" customHeight="1">
      <c r="G5" s="49" t="s">
        <v>19</v>
      </c>
      <c r="H5" s="26" t="s">
        <v>20</v>
      </c>
      <c r="I5" s="32" t="s">
        <v>21</v>
      </c>
    </row>
    <row r="6" spans="1:9" ht="14.45" customHeight="1">
      <c r="G6" s="44"/>
      <c r="H6" s="31" t="s">
        <v>22</v>
      </c>
      <c r="I6" s="33" t="s">
        <v>23</v>
      </c>
    </row>
    <row r="7" spans="1:9" ht="14.45" customHeight="1">
      <c r="G7" s="45" t="s">
        <v>24</v>
      </c>
      <c r="H7" s="30" t="s">
        <v>25</v>
      </c>
      <c r="I7" s="34" t="s">
        <v>26</v>
      </c>
    </row>
    <row r="8" spans="1:9" ht="14.45" customHeight="1">
      <c r="G8" s="45" t="s">
        <v>27</v>
      </c>
      <c r="H8" s="29" t="s">
        <v>28</v>
      </c>
      <c r="I8" s="35" t="s">
        <v>29</v>
      </c>
    </row>
    <row r="9" spans="1:9" ht="14.45" customHeight="1">
      <c r="G9" s="46" t="s">
        <v>30</v>
      </c>
      <c r="H9" s="26" t="s">
        <v>31</v>
      </c>
      <c r="I9" s="32" t="s">
        <v>32</v>
      </c>
    </row>
    <row r="10" spans="1:9" ht="14.45" customHeight="1">
      <c r="G10" s="47"/>
      <c r="H10" s="27" t="s">
        <v>33</v>
      </c>
      <c r="I10" s="36" t="s">
        <v>32</v>
      </c>
    </row>
    <row r="11" spans="1:9" ht="14.45" customHeight="1">
      <c r="G11" s="48"/>
      <c r="H11" s="28" t="s">
        <v>34</v>
      </c>
      <c r="I11" s="37" t="s">
        <v>35</v>
      </c>
    </row>
    <row r="12" spans="1:9" ht="14.45" customHeight="1">
      <c r="G12" s="46" t="s">
        <v>36</v>
      </c>
      <c r="H12" s="21" t="s">
        <v>37</v>
      </c>
      <c r="I12" s="38" t="s">
        <v>38</v>
      </c>
    </row>
    <row r="13" spans="1:9" ht="14.45" customHeight="1">
      <c r="G13" s="47"/>
      <c r="H13" s="23" t="s">
        <v>39</v>
      </c>
      <c r="I13" s="39" t="s">
        <v>40</v>
      </c>
    </row>
    <row r="14" spans="1:9" ht="14.45" customHeight="1">
      <c r="G14" s="22"/>
      <c r="H14" s="23" t="s">
        <v>41</v>
      </c>
      <c r="I14" s="39" t="s">
        <v>42</v>
      </c>
    </row>
    <row r="15" spans="1:9" ht="14.45" customHeight="1">
      <c r="G15" s="24"/>
      <c r="H15" s="25" t="s">
        <v>43</v>
      </c>
      <c r="I15" s="40" t="s">
        <v>44</v>
      </c>
    </row>
    <row r="16" spans="1:9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5"/>
    <row r="23" ht="15"/>
    <row r="24" ht="15"/>
  </sheetData>
  <mergeCells count="1">
    <mergeCell ref="G2:I3"/>
  </mergeCells>
  <pageMargins left="0.7" right="0.7" top="0.75" bottom="0.75" header="0.3" footer="0.3"/>
  <pageSetup paperSize="9" orientation="portrait" r:id="rId1"/>
  <ignoredErrors>
    <ignoredError sqref="I5 I8:I11" twoDigitTextYea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361621E-DB6B-417D-824B-E18569B6EF87}">
          <x14:formula1>
            <xm:f>Data!$B$2:$B$16</xm:f>
          </x14:formula1>
          <xm:sqref>B2</xm:sqref>
        </x14:dataValidation>
        <x14:dataValidation type="list" allowBlank="1" showInputMessage="1" showErrorMessage="1" xr:uid="{A5B9240B-188D-4186-819D-A1520A64915A}">
          <x14:formula1>
            <xm:f>Data!$A$2:$A$28</xm:f>
          </x14:formula1>
          <xm:sqref>A2</xm:sqref>
        </x14:dataValidation>
        <x14:dataValidation type="list" allowBlank="1" showInputMessage="1" showErrorMessage="1" xr:uid="{624B8662-5E23-4E1F-9CBC-1BE1AA88F057}">
          <x14:formula1>
            <xm:f>Data!$A$2:$A$27</xm:f>
          </x14:formula1>
          <xm:sqref>A3:A1048576</xm:sqref>
        </x14:dataValidation>
        <x14:dataValidation type="list" allowBlank="1" showInputMessage="1" showErrorMessage="1" xr:uid="{662C9692-914D-4486-ACE5-0D4322248414}">
          <x14:formula1>
            <xm:f>Data!$B$2:$B$15</xm:f>
          </x14:formula1>
          <xm:sqref>B3:B1048576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E3A2-3B17-4E63-BB2C-EBEF9CE8E905}">
  <dimension ref="A1:D27"/>
  <sheetViews>
    <sheetView workbookViewId="0">
      <selection activeCell="A27" sqref="A2:A27"/>
    </sheetView>
  </sheetViews>
  <sheetFormatPr defaultRowHeight="14.45"/>
  <cols>
    <col min="1" max="1" width="36" customWidth="1"/>
    <col min="2" max="2" width="24.140625" bestFit="1" customWidth="1"/>
    <col min="3" max="3" width="13.28515625" customWidth="1"/>
    <col min="4" max="4" width="10.28515625" customWidth="1"/>
  </cols>
  <sheetData>
    <row r="1" spans="1:4">
      <c r="A1" t="s">
        <v>45</v>
      </c>
      <c r="B1" t="s">
        <v>17</v>
      </c>
      <c r="C1" t="s">
        <v>18</v>
      </c>
      <c r="D1" s="17" t="s">
        <v>46</v>
      </c>
    </row>
    <row r="2" spans="1:4">
      <c r="A2" t="s">
        <v>47</v>
      </c>
      <c r="B2" t="s">
        <v>48</v>
      </c>
      <c r="C2" s="11"/>
      <c r="D2">
        <f ca="1">YEAR(TODAY())+2</f>
        <v>2028</v>
      </c>
    </row>
    <row r="3" spans="1:4">
      <c r="A3" t="s">
        <v>49</v>
      </c>
      <c r="B3" t="s">
        <v>19</v>
      </c>
      <c r="C3" s="11"/>
      <c r="D3">
        <f ca="1">YEAR(TODAY())+1</f>
        <v>2027</v>
      </c>
    </row>
    <row r="4" spans="1:4">
      <c r="A4" t="s">
        <v>50</v>
      </c>
      <c r="B4" s="11" t="s">
        <v>51</v>
      </c>
      <c r="D4">
        <f ca="1">YEAR(TODAY())</f>
        <v>2026</v>
      </c>
    </row>
    <row r="5" spans="1:4">
      <c r="A5" t="s">
        <v>52</v>
      </c>
      <c r="B5" t="s">
        <v>53</v>
      </c>
      <c r="D5">
        <f ca="1">YEAR(TODAY())-1</f>
        <v>2025</v>
      </c>
    </row>
    <row r="6" spans="1:4">
      <c r="A6" t="s">
        <v>54</v>
      </c>
      <c r="B6" t="s">
        <v>55</v>
      </c>
      <c r="D6">
        <f ca="1">YEAR(TODAY())-2</f>
        <v>2024</v>
      </c>
    </row>
    <row r="7" spans="1:4">
      <c r="A7" t="s">
        <v>56</v>
      </c>
      <c r="B7" t="s">
        <v>57</v>
      </c>
    </row>
    <row r="8" spans="1:4">
      <c r="A8" t="s">
        <v>58</v>
      </c>
      <c r="B8" t="s">
        <v>59</v>
      </c>
    </row>
    <row r="9" spans="1:4">
      <c r="A9" t="s">
        <v>60</v>
      </c>
      <c r="B9" t="s">
        <v>61</v>
      </c>
    </row>
    <row r="10" spans="1:4">
      <c r="A10" t="s">
        <v>62</v>
      </c>
      <c r="B10" t="s">
        <v>63</v>
      </c>
    </row>
    <row r="11" spans="1:4">
      <c r="A11" t="s">
        <v>64</v>
      </c>
      <c r="B11" t="s">
        <v>24</v>
      </c>
    </row>
    <row r="12" spans="1:4" ht="28.9">
      <c r="A12" s="20" t="s">
        <v>65</v>
      </c>
      <c r="B12" t="s">
        <v>27</v>
      </c>
    </row>
    <row r="13" spans="1:4">
      <c r="A13" t="s">
        <v>66</v>
      </c>
      <c r="B13" t="s">
        <v>30</v>
      </c>
    </row>
    <row r="14" spans="1:4">
      <c r="A14" t="s">
        <v>67</v>
      </c>
      <c r="B14" t="s">
        <v>36</v>
      </c>
    </row>
    <row r="15" spans="1:4">
      <c r="A15" t="s">
        <v>68</v>
      </c>
      <c r="B15" t="s">
        <v>69</v>
      </c>
    </row>
    <row r="16" spans="1:4">
      <c r="A16" t="s">
        <v>70</v>
      </c>
      <c r="B16" t="s">
        <v>71</v>
      </c>
    </row>
    <row r="17" spans="1:1">
      <c r="A17" t="s">
        <v>72</v>
      </c>
    </row>
    <row r="18" spans="1:1">
      <c r="A18" t="s">
        <v>73</v>
      </c>
    </row>
    <row r="19" spans="1:1">
      <c r="A19" t="s">
        <v>74</v>
      </c>
    </row>
    <row r="20" spans="1:1">
      <c r="A20" t="s">
        <v>75</v>
      </c>
    </row>
    <row r="21" spans="1:1">
      <c r="A21" t="s">
        <v>76</v>
      </c>
    </row>
    <row r="22" spans="1:1">
      <c r="A22" t="s">
        <v>77</v>
      </c>
    </row>
    <row r="23" spans="1:1">
      <c r="A23" t="s">
        <v>78</v>
      </c>
    </row>
    <row r="24" spans="1:1">
      <c r="A24" t="s">
        <v>79</v>
      </c>
    </row>
    <row r="25" spans="1:1">
      <c r="A25" t="s">
        <v>80</v>
      </c>
    </row>
    <row r="26" spans="1:1">
      <c r="A26" t="s">
        <v>81</v>
      </c>
    </row>
    <row r="27" spans="1:1">
      <c r="A27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aeaea5-c0a8-44f4-aceb-8b427cb58b84">
      <Terms xmlns="http://schemas.microsoft.com/office/infopath/2007/PartnerControls"/>
    </lcf76f155ced4ddcb4097134ff3c332f>
    <TaxCatchAll xmlns="d6d8bcce-facf-4504-b800-1fcd982025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4D8AE60F26344BF3BE84A55903C86" ma:contentTypeVersion="10" ma:contentTypeDescription="Een nieuw document maken." ma:contentTypeScope="" ma:versionID="d1cd6ce4bdf41e881760d250c5a5d4d4">
  <xsd:schema xmlns:xsd="http://www.w3.org/2001/XMLSchema" xmlns:xs="http://www.w3.org/2001/XMLSchema" xmlns:p="http://schemas.microsoft.com/office/2006/metadata/properties" xmlns:ns2="8eaeaea5-c0a8-44f4-aceb-8b427cb58b84" xmlns:ns3="d6d8bcce-facf-4504-b800-1fcd9820253e" targetNamespace="http://schemas.microsoft.com/office/2006/metadata/properties" ma:root="true" ma:fieldsID="66c12ef2283359b42db48e56464a60eb" ns2:_="" ns3:_="">
    <xsd:import namespace="8eaeaea5-c0a8-44f4-aceb-8b427cb58b84"/>
    <xsd:import namespace="d6d8bcce-facf-4504-b800-1fcd98202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eaea5-c0a8-44f4-aceb-8b427cb58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f6aa0a0a-ab1b-4084-9454-0fab04725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8bcce-facf-4504-b800-1fcd982025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37218a-d9a5-48db-ae34-1aabb640f4cf}" ma:internalName="TaxCatchAll" ma:showField="CatchAllData" ma:web="d6d8bcce-facf-4504-b800-1fcd98202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47FC69-BFCB-4D75-AEFF-08F40F9B5438}"/>
</file>

<file path=customXml/itemProps2.xml><?xml version="1.0" encoding="utf-8"?>
<ds:datastoreItem xmlns:ds="http://schemas.openxmlformats.org/officeDocument/2006/customXml" ds:itemID="{BF3F6199-925A-473D-AE62-88ED4D67E90C}"/>
</file>

<file path=customXml/itemProps3.xml><?xml version="1.0" encoding="utf-8"?>
<ds:datastoreItem xmlns:ds="http://schemas.openxmlformats.org/officeDocument/2006/customXml" ds:itemID="{4F7CA35A-1688-4C54-A064-E085C2EB1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Luuk Veeken (student)</dc:creator>
  <cp:keywords/>
  <dc:description/>
  <cp:lastModifiedBy/>
  <cp:revision/>
  <dcterms:created xsi:type="dcterms:W3CDTF">2025-12-02T10:18:20Z</dcterms:created>
  <dcterms:modified xsi:type="dcterms:W3CDTF">2026-01-13T12:02:59Z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0x0101003EB4D8AE60F26344BF3BE84A55903C86</vt:lpwstr>
  </property>
  <property fmtid="{D5CDD505-2E9C-101B-9397-08002B2CF9AE}" pid="3" name="MediaServiceImageTags">
    <vt:lpwstr/>
  </property>
</Properties>
</file>